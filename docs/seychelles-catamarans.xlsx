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тамараны" sheetId="1" state="visible" r:id="rId3"/>
  </sheets>
  <definedNames>
    <definedName function="false" hidden="true" localSheetId="0" name="_xlnm._FilterDatabase" vbProcedure="false">Катамараны!$A$4:$R$32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<sst xmlns="http://schemas.openxmlformats.org/spreadsheetml/2006/main" count="222" uniqueCount="110">
  <si>
    <t xml:space="preserve">Сейшелы: катамараны на неделю, сб 28.11 - сб 05.12</t>
  </si>
  <si>
    <t xml:space="preserve">Источники: NauSYS + второй агрегатор, дубли объединены. Цены в EUR.</t>
  </si>
  <si>
    <t xml:space="preserve">№</t>
  </si>
  <si>
    <t xml:space="preserve">Лодка</t>
  </si>
  <si>
    <t xml:space="preserve">Модель</t>
  </si>
  <si>
    <t xml:space="preserve">Год</t>
  </si>
  <si>
    <t xml:space="preserve">Каюты</t>
  </si>
  <si>
    <t xml:space="preserve">Гости</t>
  </si>
  <si>
    <t xml:space="preserve">База</t>
  </si>
  <si>
    <t xml:space="preserve">Тип чартера</t>
  </si>
  <si>
    <t xml:space="preserve">Оператор</t>
  </si>
  <si>
    <t xml:space="preserve">Цена по листу, €</t>
  </si>
  <si>
    <t xml:space="preserve">Скидка, %</t>
  </si>
  <si>
    <t xml:space="preserve">Итоговая цена, €</t>
  </si>
  <si>
    <t xml:space="preserve">Обяз. допы, €</t>
  </si>
  <si>
    <t xml:space="preserve">Итого с допами, €</t>
  </si>
  <si>
    <t xml:space="preserve">Депозит, €</t>
  </si>
  <si>
    <t xml:space="preserve">Комиссия, %</t>
  </si>
  <si>
    <t xml:space="preserve">Комиссия, €</t>
  </si>
  <si>
    <t xml:space="preserve">Примечание</t>
  </si>
  <si>
    <t xml:space="preserve">Best Q</t>
  </si>
  <si>
    <t xml:space="preserve">Lagoon 42</t>
  </si>
  <si>
    <t xml:space="preserve">4+2</t>
  </si>
  <si>
    <t xml:space="preserve">8+2</t>
  </si>
  <si>
    <t xml:space="preserve">Маэ</t>
  </si>
  <si>
    <t xml:space="preserve">Бэрбоут</t>
  </si>
  <si>
    <t xml:space="preserve">Top Catamaran</t>
  </si>
  <si>
    <t xml:space="preserve">Best Love</t>
  </si>
  <si>
    <t xml:space="preserve">Miro Bot</t>
  </si>
  <si>
    <t xml:space="preserve">Bali Catspace</t>
  </si>
  <si>
    <t xml:space="preserve">4</t>
  </si>
  <si>
    <t xml:space="preserve">8</t>
  </si>
  <si>
    <t xml:space="preserve">Маэ, Eden Island</t>
  </si>
  <si>
    <t xml:space="preserve">Navigare Yachting</t>
  </si>
  <si>
    <t xml:space="preserve">Pazzona II</t>
  </si>
  <si>
    <t xml:space="preserve">4+1</t>
  </si>
  <si>
    <t xml:space="preserve">8+1</t>
  </si>
  <si>
    <t xml:space="preserve">My Sailing</t>
  </si>
  <si>
    <t xml:space="preserve">Victoria</t>
  </si>
  <si>
    <t xml:space="preserve">Только во 2-м источнике</t>
  </si>
  <si>
    <t xml:space="preserve">Antares</t>
  </si>
  <si>
    <t xml:space="preserve">Bali 4.3</t>
  </si>
  <si>
    <t xml:space="preserve">Сейшелы</t>
  </si>
  <si>
    <t xml:space="preserve">Чартер вс-вс (29.11-06.12)</t>
  </si>
  <si>
    <t xml:space="preserve">Sapotier</t>
  </si>
  <si>
    <t xml:space="preserve">FP Saona 47 Quintet</t>
  </si>
  <si>
    <t xml:space="preserve">5+1</t>
  </si>
  <si>
    <t xml:space="preserve">10+1</t>
  </si>
  <si>
    <t xml:space="preserve">Праслин</t>
  </si>
  <si>
    <t xml:space="preserve">Dream Yacht Charter</t>
  </si>
  <si>
    <t xml:space="preserve">Francois-Mahe 2</t>
  </si>
  <si>
    <t xml:space="preserve">Lagoon 46</t>
  </si>
  <si>
    <t xml:space="preserve">Ghost Buster</t>
  </si>
  <si>
    <t xml:space="preserve">Trinity</t>
  </si>
  <si>
    <t xml:space="preserve">Maui</t>
  </si>
  <si>
    <t xml:space="preserve">La Traviesa</t>
  </si>
  <si>
    <t xml:space="preserve">Bali 4.6</t>
  </si>
  <si>
    <t xml:space="preserve">Maryna</t>
  </si>
  <si>
    <t xml:space="preserve">Со шкипером</t>
  </si>
  <si>
    <t xml:space="preserve">CharterClick</t>
  </si>
  <si>
    <t xml:space="preserve">Lomar II</t>
  </si>
  <si>
    <t xml:space="preserve">8+1+1</t>
  </si>
  <si>
    <t xml:space="preserve">Islette</t>
  </si>
  <si>
    <t xml:space="preserve">Lagoon 450 S</t>
  </si>
  <si>
    <t xml:space="preserve">Sailoe</t>
  </si>
  <si>
    <t xml:space="preserve">Jema II</t>
  </si>
  <si>
    <t xml:space="preserve">Lagoon 52 F</t>
  </si>
  <si>
    <t xml:space="preserve">5+2</t>
  </si>
  <si>
    <t xml:space="preserve">10+2</t>
  </si>
  <si>
    <t xml:space="preserve">Vertigo</t>
  </si>
  <si>
    <t xml:space="preserve">Vanesa</t>
  </si>
  <si>
    <t xml:space="preserve">Lagoon 46 Iconic</t>
  </si>
  <si>
    <t xml:space="preserve">Kramer Yachting</t>
  </si>
  <si>
    <t xml:space="preserve">Год 2027 - уточнить у оператора</t>
  </si>
  <si>
    <t xml:space="preserve">Positive Energy</t>
  </si>
  <si>
    <t xml:space="preserve">FP Tanna 47</t>
  </si>
  <si>
    <t xml:space="preserve">Yuki</t>
  </si>
  <si>
    <t xml:space="preserve">8+2+2</t>
  </si>
  <si>
    <t xml:space="preserve">Ocean</t>
  </si>
  <si>
    <t xml:space="preserve">Lagoon 50</t>
  </si>
  <si>
    <t xml:space="preserve">6+1</t>
  </si>
  <si>
    <t xml:space="preserve">12+1</t>
  </si>
  <si>
    <t xml:space="preserve">Rapscallion</t>
  </si>
  <si>
    <t xml:space="preserve">Lagoon 46 OW</t>
  </si>
  <si>
    <t xml:space="preserve">3+2</t>
  </si>
  <si>
    <t xml:space="preserve">6+2</t>
  </si>
  <si>
    <t xml:space="preserve">С экипажем</t>
  </si>
  <si>
    <t xml:space="preserve">Wind Seychelles</t>
  </si>
  <si>
    <t xml:space="preserve">Arcturus</t>
  </si>
  <si>
    <t xml:space="preserve">Bali 5.4</t>
  </si>
  <si>
    <t xml:space="preserve">5</t>
  </si>
  <si>
    <t xml:space="preserve">10</t>
  </si>
  <si>
    <t xml:space="preserve">Premium</t>
  </si>
  <si>
    <t xml:space="preserve">Leopard 45</t>
  </si>
  <si>
    <t xml:space="preserve">3</t>
  </si>
  <si>
    <t xml:space="preserve">6</t>
  </si>
  <si>
    <t xml:space="preserve">Депозит не указан</t>
  </si>
  <si>
    <t xml:space="preserve">Nowo</t>
  </si>
  <si>
    <t xml:space="preserve">Lagoon 51</t>
  </si>
  <si>
    <t xml:space="preserve">12+2</t>
  </si>
  <si>
    <t xml:space="preserve">Leone</t>
  </si>
  <si>
    <t xml:space="preserve">Bali 5.8</t>
  </si>
  <si>
    <t xml:space="preserve">12+3</t>
  </si>
  <si>
    <t xml:space="preserve">Puma</t>
  </si>
  <si>
    <t xml:space="preserve">Lagoon 620</t>
  </si>
  <si>
    <t xml:space="preserve">Примечания:</t>
  </si>
  <si>
    <t xml:space="preserve">- Комиссия (столбец Q) рассчитана как % от итоговой цены; у части лодок NauSYS показывает чуть иную базу расчёта (без НДС), поэтому возможно расхождение в пределах ~2%.</t>
  </si>
  <si>
    <t xml:space="preserve">- Скидки Dream Yacht и Navigare (15%), CharterClick (10%), Kramer (5%), Ocean (7%) уже учтены формулой в столбце L.</t>
  </si>
  <si>
    <t xml:space="preserve">- Spirit of Ponant (Lagoon Seventy 7, 2024) не включена - в выгрузке нет цены.</t>
  </si>
  <si>
    <t xml:space="preserve">- Vanesa указана как лодка 2027 года - вероятна ошибка листинга.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</si>
</sst>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7C8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6" min="5" style="0" width="8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n">
        <v>1</v>
      </c>
      <c r="B5" s="5" t="s">
        <v>20</v>
      </c>
      <c r="C5" s="5" t="s">
        <v>21</v>
      </c>
      <c r="D5" s="4" t="n">
        <v>2020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6" t="n">
        <v>5000</v>
      </c>
      <c r="K5" s="7" t="n">
        <v>0</v>
      </c>
      <c r="L5" s="6" t="n">
        <f aca="false">J5*(1-K5)</f>
        <v>5000</v>
      </c>
      <c r="M5" s="6"/>
      <c r="N5" s="6" t="n">
        <f aca="false">L5+IF(ISBLANK(M5),0,M5)</f>
        <v>5000</v>
      </c>
      <c r="O5" s="6" t="n">
        <v>2000</v>
      </c>
      <c r="P5" s="7" t="n">
        <v>0.15</v>
      </c>
      <c r="Q5" s="6" t="n">
        <f aca="false">L5*P5</f>
        <v>750</v>
      </c>
      <c r="R5" s="5"/>
    </row>
    <row r="6" customFormat="false" ht="15" hidden="false" customHeight="false" outlineLevel="0" collapsed="false">
      <c r="A6" s="4" t="n">
        <v>2</v>
      </c>
      <c r="B6" s="5" t="s">
        <v>27</v>
      </c>
      <c r="C6" s="5" t="s">
        <v>21</v>
      </c>
      <c r="D6" s="4" t="n">
        <v>2020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6" t="n">
        <v>5000</v>
      </c>
      <c r="K6" s="7" t="n">
        <v>0</v>
      </c>
      <c r="L6" s="6" t="n">
        <f aca="false">J6*(1-K6)</f>
        <v>5000</v>
      </c>
      <c r="M6" s="6"/>
      <c r="N6" s="6" t="n">
        <f aca="false">L6+IF(ISBLANK(M6),0,M6)</f>
        <v>5000</v>
      </c>
      <c r="O6" s="6" t="n">
        <v>2000</v>
      </c>
      <c r="P6" s="7" t="n">
        <v>0.15</v>
      </c>
      <c r="Q6" s="6" t="n">
        <f aca="false">L6*P6</f>
        <v>750</v>
      </c>
      <c r="R6" s="5"/>
    </row>
    <row r="7" customFormat="false" ht="15" hidden="false" customHeight="false" outlineLevel="0" collapsed="false">
      <c r="A7" s="4" t="n">
        <v>3</v>
      </c>
      <c r="B7" s="5" t="s">
        <v>28</v>
      </c>
      <c r="C7" s="5" t="s">
        <v>29</v>
      </c>
      <c r="D7" s="4" t="n">
        <v>2023</v>
      </c>
      <c r="E7" s="5" t="s">
        <v>30</v>
      </c>
      <c r="F7" s="5" t="s">
        <v>31</v>
      </c>
      <c r="G7" s="5" t="s">
        <v>32</v>
      </c>
      <c r="H7" s="5" t="s">
        <v>25</v>
      </c>
      <c r="I7" s="5" t="s">
        <v>33</v>
      </c>
      <c r="J7" s="6" t="n">
        <v>5200</v>
      </c>
      <c r="K7" s="7" t="n">
        <v>0</v>
      </c>
      <c r="L7" s="6" t="n">
        <f aca="false">J7*(1-K7)</f>
        <v>5200</v>
      </c>
      <c r="M7" s="6"/>
      <c r="N7" s="6" t="n">
        <f aca="false">L7+IF(ISBLANK(M7),0,M7)</f>
        <v>5200</v>
      </c>
      <c r="O7" s="6" t="n">
        <v>5000</v>
      </c>
      <c r="P7" s="7" t="n">
        <v>0.15</v>
      </c>
      <c r="Q7" s="6" t="n">
        <f aca="false">L7*P7</f>
        <v>780</v>
      </c>
      <c r="R7" s="5"/>
    </row>
    <row r="8" customFormat="false" ht="15" hidden="false" customHeight="false" outlineLevel="0" collapsed="false">
      <c r="A8" s="4" t="n">
        <v>4</v>
      </c>
      <c r="B8" s="5" t="s">
        <v>34</v>
      </c>
      <c r="C8" s="5" t="s">
        <v>21</v>
      </c>
      <c r="D8" s="4" t="n">
        <v>2019</v>
      </c>
      <c r="E8" s="5" t="s">
        <v>35</v>
      </c>
      <c r="F8" s="5" t="s">
        <v>36</v>
      </c>
      <c r="G8" s="5" t="s">
        <v>32</v>
      </c>
      <c r="H8" s="5" t="s">
        <v>25</v>
      </c>
      <c r="I8" s="5" t="s">
        <v>37</v>
      </c>
      <c r="J8" s="6" t="n">
        <v>5550</v>
      </c>
      <c r="K8" s="7" t="n">
        <v>0</v>
      </c>
      <c r="L8" s="6" t="n">
        <f aca="false">J8*(1-K8)</f>
        <v>5550</v>
      </c>
      <c r="M8" s="6" t="n">
        <v>563.8</v>
      </c>
      <c r="N8" s="6" t="n">
        <f aca="false">L8+IF(ISBLANK(M8),0,M8)</f>
        <v>6113.8</v>
      </c>
      <c r="O8" s="6" t="n">
        <v>3000</v>
      </c>
      <c r="P8" s="7" t="n">
        <v>0.15</v>
      </c>
      <c r="Q8" s="6" t="n">
        <f aca="false">L8*P8</f>
        <v>832.5</v>
      </c>
      <c r="R8" s="5"/>
    </row>
    <row r="9" customFormat="false" ht="15" hidden="false" customHeight="false" outlineLevel="0" collapsed="false">
      <c r="A9" s="4" t="n">
        <v>5</v>
      </c>
      <c r="B9" s="5" t="s">
        <v>38</v>
      </c>
      <c r="C9" s="5" t="s">
        <v>21</v>
      </c>
      <c r="D9" s="4" t="n">
        <v>2023</v>
      </c>
      <c r="E9" s="5" t="s">
        <v>22</v>
      </c>
      <c r="F9" s="5" t="s">
        <v>23</v>
      </c>
      <c r="G9" s="5" t="s">
        <v>24</v>
      </c>
      <c r="H9" s="5" t="s">
        <v>25</v>
      </c>
      <c r="I9" s="5"/>
      <c r="J9" s="6" t="n">
        <v>5900</v>
      </c>
      <c r="K9" s="7" t="n">
        <v>0</v>
      </c>
      <c r="L9" s="6" t="n">
        <f aca="false">J9*(1-K9)</f>
        <v>5900</v>
      </c>
      <c r="M9" s="6" t="n">
        <v>397</v>
      </c>
      <c r="N9" s="6" t="n">
        <f aca="false">L9+IF(ISBLANK(M9),0,M9)</f>
        <v>6297</v>
      </c>
      <c r="O9" s="6" t="n">
        <v>7000</v>
      </c>
      <c r="P9" s="7" t="n">
        <v>0.15</v>
      </c>
      <c r="Q9" s="6" t="n">
        <f aca="false">L9*P9</f>
        <v>885</v>
      </c>
      <c r="R9" s="5" t="s">
        <v>39</v>
      </c>
    </row>
    <row r="10" customFormat="false" ht="15" hidden="false" customHeight="false" outlineLevel="0" collapsed="false">
      <c r="A10" s="4" t="n">
        <v>6</v>
      </c>
      <c r="B10" s="5" t="s">
        <v>40</v>
      </c>
      <c r="C10" s="5" t="s">
        <v>41</v>
      </c>
      <c r="D10" s="4" t="n">
        <v>2019</v>
      </c>
      <c r="E10" s="5" t="s">
        <v>22</v>
      </c>
      <c r="F10" s="5" t="s">
        <v>23</v>
      </c>
      <c r="G10" s="5" t="s">
        <v>42</v>
      </c>
      <c r="H10" s="5" t="s">
        <v>25</v>
      </c>
      <c r="I10" s="5"/>
      <c r="J10" s="6" t="n">
        <v>6000</v>
      </c>
      <c r="K10" s="7" t="n">
        <v>0</v>
      </c>
      <c r="L10" s="6" t="n">
        <f aca="false">J10*(1-K10)</f>
        <v>6000</v>
      </c>
      <c r="M10" s="6" t="n">
        <v>488</v>
      </c>
      <c r="N10" s="6" t="n">
        <f aca="false">L10+IF(ISBLANK(M10),0,M10)</f>
        <v>6488</v>
      </c>
      <c r="O10" s="6" t="n">
        <v>4000</v>
      </c>
      <c r="P10" s="7" t="n">
        <v>0.15</v>
      </c>
      <c r="Q10" s="6" t="n">
        <f aca="false">L10*P10</f>
        <v>900</v>
      </c>
      <c r="R10" s="5" t="s">
        <v>43</v>
      </c>
    </row>
    <row r="11" customFormat="false" ht="15" hidden="false" customHeight="false" outlineLevel="0" collapsed="false">
      <c r="A11" s="4" t="n">
        <v>7</v>
      </c>
      <c r="B11" s="5" t="s">
        <v>44</v>
      </c>
      <c r="C11" s="5" t="s">
        <v>45</v>
      </c>
      <c r="D11" s="4" t="n">
        <v>2019</v>
      </c>
      <c r="E11" s="5" t="s">
        <v>46</v>
      </c>
      <c r="F11" s="5" t="s">
        <v>47</v>
      </c>
      <c r="G11" s="5" t="s">
        <v>48</v>
      </c>
      <c r="H11" s="5" t="s">
        <v>25</v>
      </c>
      <c r="I11" s="5" t="s">
        <v>49</v>
      </c>
      <c r="J11" s="6" t="n">
        <v>7245</v>
      </c>
      <c r="K11" s="7" t="n">
        <v>0.15</v>
      </c>
      <c r="L11" s="6" t="n">
        <f aca="false">J11*(1-K11)</f>
        <v>6158.25</v>
      </c>
      <c r="M11" s="6"/>
      <c r="N11" s="6" t="n">
        <f aca="false">L11+IF(ISBLANK(M11),0,M11)</f>
        <v>6158.25</v>
      </c>
      <c r="O11" s="6" t="n">
        <v>8000</v>
      </c>
      <c r="P11" s="7" t="n">
        <v>0.1</v>
      </c>
      <c r="Q11" s="6" t="n">
        <f aca="false">L11*P11</f>
        <v>615.825</v>
      </c>
      <c r="R11" s="5"/>
    </row>
    <row r="12" customFormat="false" ht="15" hidden="false" customHeight="false" outlineLevel="0" collapsed="false">
      <c r="A12" s="4" t="n">
        <v>8</v>
      </c>
      <c r="B12" s="5" t="s">
        <v>50</v>
      </c>
      <c r="C12" s="5" t="s">
        <v>51</v>
      </c>
      <c r="D12" s="4" t="n">
        <v>2021</v>
      </c>
      <c r="E12" s="5" t="s">
        <v>22</v>
      </c>
      <c r="F12" s="5" t="s">
        <v>23</v>
      </c>
      <c r="G12" s="5" t="s">
        <v>48</v>
      </c>
      <c r="H12" s="5" t="s">
        <v>25</v>
      </c>
      <c r="I12" s="5" t="s">
        <v>49</v>
      </c>
      <c r="J12" s="6" t="n">
        <v>7245</v>
      </c>
      <c r="K12" s="7" t="n">
        <v>0.15</v>
      </c>
      <c r="L12" s="6" t="n">
        <f aca="false">J12*(1-K12)</f>
        <v>6158.25</v>
      </c>
      <c r="M12" s="6"/>
      <c r="N12" s="6" t="n">
        <f aca="false">L12+IF(ISBLANK(M12),0,M12)</f>
        <v>6158.25</v>
      </c>
      <c r="O12" s="6" t="n">
        <v>8000</v>
      </c>
      <c r="P12" s="7" t="n">
        <v>0.1</v>
      </c>
      <c r="Q12" s="6" t="n">
        <f aca="false">L12*P12</f>
        <v>615.825</v>
      </c>
      <c r="R12" s="5"/>
    </row>
    <row r="13" customFormat="false" ht="15" hidden="false" customHeight="false" outlineLevel="0" collapsed="false">
      <c r="A13" s="4" t="n">
        <v>9</v>
      </c>
      <c r="B13" s="5" t="s">
        <v>52</v>
      </c>
      <c r="C13" s="5" t="s">
        <v>51</v>
      </c>
      <c r="D13" s="4" t="n">
        <v>2023</v>
      </c>
      <c r="E13" s="5" t="s">
        <v>22</v>
      </c>
      <c r="F13" s="5" t="s">
        <v>23</v>
      </c>
      <c r="G13" s="5" t="s">
        <v>32</v>
      </c>
      <c r="H13" s="5" t="s">
        <v>25</v>
      </c>
      <c r="I13" s="5" t="s">
        <v>33</v>
      </c>
      <c r="J13" s="6" t="n">
        <v>8040</v>
      </c>
      <c r="K13" s="7" t="n">
        <v>0.15</v>
      </c>
      <c r="L13" s="6" t="n">
        <f aca="false">J13*(1-K13)</f>
        <v>6834</v>
      </c>
      <c r="M13" s="6"/>
      <c r="N13" s="6" t="n">
        <f aca="false">L13+IF(ISBLANK(M13),0,M13)</f>
        <v>6834</v>
      </c>
      <c r="O13" s="6" t="n">
        <v>8000</v>
      </c>
      <c r="P13" s="7" t="n">
        <v>0.15</v>
      </c>
      <c r="Q13" s="6" t="n">
        <f aca="false">L13*P13</f>
        <v>1025.1</v>
      </c>
      <c r="R13" s="5"/>
    </row>
    <row r="14" customFormat="false" ht="15" hidden="false" customHeight="false" outlineLevel="0" collapsed="false">
      <c r="A14" s="4" t="n">
        <v>10</v>
      </c>
      <c r="B14" s="5" t="s">
        <v>53</v>
      </c>
      <c r="C14" s="5" t="s">
        <v>51</v>
      </c>
      <c r="D14" s="4" t="n">
        <v>2023</v>
      </c>
      <c r="E14" s="5" t="s">
        <v>22</v>
      </c>
      <c r="F14" s="5" t="s">
        <v>23</v>
      </c>
      <c r="G14" s="5" t="s">
        <v>32</v>
      </c>
      <c r="H14" s="5" t="s">
        <v>25</v>
      </c>
      <c r="I14" s="5" t="s">
        <v>33</v>
      </c>
      <c r="J14" s="6" t="n">
        <v>8040</v>
      </c>
      <c r="K14" s="7" t="n">
        <v>0.15</v>
      </c>
      <c r="L14" s="6" t="n">
        <f aca="false">J14*(1-K14)</f>
        <v>6834</v>
      </c>
      <c r="M14" s="6"/>
      <c r="N14" s="6" t="n">
        <f aca="false">L14+IF(ISBLANK(M14),0,M14)</f>
        <v>6834</v>
      </c>
      <c r="O14" s="6" t="n">
        <v>8000</v>
      </c>
      <c r="P14" s="7" t="n">
        <v>0.15</v>
      </c>
      <c r="Q14" s="6" t="n">
        <f aca="false">L14*P14</f>
        <v>1025.1</v>
      </c>
      <c r="R14" s="5"/>
    </row>
    <row r="15" customFormat="false" ht="15" hidden="false" customHeight="false" outlineLevel="0" collapsed="false">
      <c r="A15" s="4" t="n">
        <v>11</v>
      </c>
      <c r="B15" s="5" t="s">
        <v>54</v>
      </c>
      <c r="C15" s="5" t="s">
        <v>51</v>
      </c>
      <c r="D15" s="4" t="n">
        <v>2023</v>
      </c>
      <c r="E15" s="5" t="s">
        <v>22</v>
      </c>
      <c r="F15" s="5" t="s">
        <v>23</v>
      </c>
      <c r="G15" s="5" t="s">
        <v>32</v>
      </c>
      <c r="H15" s="5" t="s">
        <v>25</v>
      </c>
      <c r="I15" s="5" t="s">
        <v>33</v>
      </c>
      <c r="J15" s="6" t="n">
        <v>8040</v>
      </c>
      <c r="K15" s="7" t="n">
        <v>0.15</v>
      </c>
      <c r="L15" s="6" t="n">
        <f aca="false">J15*(1-K15)</f>
        <v>6834</v>
      </c>
      <c r="M15" s="6"/>
      <c r="N15" s="6" t="n">
        <f aca="false">L15+IF(ISBLANK(M15),0,M15)</f>
        <v>6834</v>
      </c>
      <c r="O15" s="6" t="n">
        <v>8000</v>
      </c>
      <c r="P15" s="7" t="n">
        <v>0.15</v>
      </c>
      <c r="Q15" s="6" t="n">
        <f aca="false">L15*P15</f>
        <v>1025.1</v>
      </c>
      <c r="R15" s="5"/>
    </row>
    <row r="16" customFormat="false" ht="15" hidden="false" customHeight="false" outlineLevel="0" collapsed="false">
      <c r="A16" s="4" t="n">
        <v>12</v>
      </c>
      <c r="B16" s="5" t="s">
        <v>55</v>
      </c>
      <c r="C16" s="5" t="s">
        <v>56</v>
      </c>
      <c r="D16" s="4" t="n">
        <v>2023</v>
      </c>
      <c r="E16" s="5" t="s">
        <v>35</v>
      </c>
      <c r="F16" s="5" t="s">
        <v>36</v>
      </c>
      <c r="G16" s="5" t="s">
        <v>32</v>
      </c>
      <c r="H16" s="5" t="s">
        <v>25</v>
      </c>
      <c r="I16" s="5" t="s">
        <v>33</v>
      </c>
      <c r="J16" s="6" t="n">
        <v>8910</v>
      </c>
      <c r="K16" s="7" t="n">
        <v>0.15</v>
      </c>
      <c r="L16" s="6" t="n">
        <f aca="false">J16*(1-K16)</f>
        <v>7573.5</v>
      </c>
      <c r="M16" s="6"/>
      <c r="N16" s="6" t="n">
        <f aca="false">L16+IF(ISBLANK(M16),0,M16)</f>
        <v>7573.5</v>
      </c>
      <c r="O16" s="6" t="n">
        <v>8000</v>
      </c>
      <c r="P16" s="7" t="n">
        <v>0.15</v>
      </c>
      <c r="Q16" s="6" t="n">
        <f aca="false">L16*P16</f>
        <v>1136.025</v>
      </c>
      <c r="R16" s="5"/>
    </row>
    <row r="17" customFormat="false" ht="15" hidden="false" customHeight="false" outlineLevel="0" collapsed="false">
      <c r="A17" s="4" t="n">
        <v>13</v>
      </c>
      <c r="B17" s="5" t="s">
        <v>57</v>
      </c>
      <c r="C17" s="5" t="s">
        <v>51</v>
      </c>
      <c r="D17" s="4" t="n">
        <v>2021</v>
      </c>
      <c r="E17" s="5" t="s">
        <v>35</v>
      </c>
      <c r="F17" s="5" t="s">
        <v>36</v>
      </c>
      <c r="G17" s="5" t="s">
        <v>32</v>
      </c>
      <c r="H17" s="5" t="s">
        <v>58</v>
      </c>
      <c r="I17" s="5" t="s">
        <v>59</v>
      </c>
      <c r="J17" s="6" t="n">
        <v>8500</v>
      </c>
      <c r="K17" s="7" t="n">
        <v>0.1</v>
      </c>
      <c r="L17" s="6" t="n">
        <f aca="false">J17*(1-K17)</f>
        <v>7650</v>
      </c>
      <c r="M17" s="6" t="n">
        <v>612</v>
      </c>
      <c r="N17" s="6" t="n">
        <f aca="false">L17+IF(ISBLANK(M17),0,M17)</f>
        <v>8262</v>
      </c>
      <c r="O17" s="6" t="n">
        <v>3000</v>
      </c>
      <c r="P17" s="7" t="n">
        <v>0.15</v>
      </c>
      <c r="Q17" s="6" t="n">
        <f aca="false">L17*P17</f>
        <v>1147.5</v>
      </c>
      <c r="R17" s="5"/>
    </row>
    <row r="18" customFormat="false" ht="15" hidden="false" customHeight="false" outlineLevel="0" collapsed="false">
      <c r="A18" s="4" t="n">
        <v>14</v>
      </c>
      <c r="B18" s="5" t="s">
        <v>60</v>
      </c>
      <c r="C18" s="5" t="s">
        <v>51</v>
      </c>
      <c r="D18" s="4" t="n">
        <v>2022</v>
      </c>
      <c r="E18" s="5" t="s">
        <v>35</v>
      </c>
      <c r="F18" s="5" t="s">
        <v>61</v>
      </c>
      <c r="G18" s="5" t="s">
        <v>32</v>
      </c>
      <c r="H18" s="5" t="s">
        <v>58</v>
      </c>
      <c r="I18" s="5" t="s">
        <v>37</v>
      </c>
      <c r="J18" s="6" t="n">
        <v>8360</v>
      </c>
      <c r="K18" s="7" t="n">
        <v>0</v>
      </c>
      <c r="L18" s="6" t="n">
        <f aca="false">J18*(1-K18)</f>
        <v>8360</v>
      </c>
      <c r="M18" s="6" t="n">
        <v>1763.8</v>
      </c>
      <c r="N18" s="6" t="n">
        <f aca="false">L18+IF(ISBLANK(M18),0,M18)</f>
        <v>10123.8</v>
      </c>
      <c r="O18" s="6" t="n">
        <v>3000</v>
      </c>
      <c r="P18" s="7" t="n">
        <v>0.15</v>
      </c>
      <c r="Q18" s="6" t="n">
        <f aca="false">L18*P18</f>
        <v>1254</v>
      </c>
      <c r="R18" s="5"/>
    </row>
    <row r="19" customFormat="false" ht="15" hidden="false" customHeight="false" outlineLevel="0" collapsed="false">
      <c r="A19" s="4" t="n">
        <v>15</v>
      </c>
      <c r="B19" s="5" t="s">
        <v>62</v>
      </c>
      <c r="C19" s="5" t="s">
        <v>63</v>
      </c>
      <c r="D19" s="4" t="n">
        <v>2018</v>
      </c>
      <c r="E19" s="5" t="s">
        <v>22</v>
      </c>
      <c r="F19" s="5" t="s">
        <v>23</v>
      </c>
      <c r="G19" s="5" t="s">
        <v>32</v>
      </c>
      <c r="H19" s="5" t="s">
        <v>25</v>
      </c>
      <c r="I19" s="5" t="s">
        <v>64</v>
      </c>
      <c r="J19" s="6" t="n">
        <v>8500</v>
      </c>
      <c r="K19" s="7" t="n">
        <v>0</v>
      </c>
      <c r="L19" s="6" t="n">
        <f aca="false">J19*(1-K19)</f>
        <v>8500</v>
      </c>
      <c r="M19" s="6" t="n">
        <v>220</v>
      </c>
      <c r="N19" s="6" t="n">
        <f aca="false">L19+IF(ISBLANK(M19),0,M19)</f>
        <v>8720</v>
      </c>
      <c r="O19" s="6" t="n">
        <v>8000</v>
      </c>
      <c r="P19" s="7" t="n">
        <v>0.2</v>
      </c>
      <c r="Q19" s="6" t="n">
        <f aca="false">L19*P19</f>
        <v>1700</v>
      </c>
      <c r="R19" s="5"/>
    </row>
    <row r="20" customFormat="false" ht="15" hidden="false" customHeight="false" outlineLevel="0" collapsed="false">
      <c r="A20" s="4" t="n">
        <v>16</v>
      </c>
      <c r="B20" s="5" t="s">
        <v>65</v>
      </c>
      <c r="C20" s="5" t="s">
        <v>66</v>
      </c>
      <c r="D20" s="4" t="n">
        <v>2017</v>
      </c>
      <c r="E20" s="5" t="s">
        <v>67</v>
      </c>
      <c r="F20" s="5" t="s">
        <v>68</v>
      </c>
      <c r="G20" s="5" t="s">
        <v>48</v>
      </c>
      <c r="H20" s="5" t="s">
        <v>25</v>
      </c>
      <c r="I20" s="5" t="s">
        <v>49</v>
      </c>
      <c r="J20" s="6" t="n">
        <v>8755</v>
      </c>
      <c r="K20" s="7" t="n">
        <v>0</v>
      </c>
      <c r="L20" s="6" t="n">
        <f aca="false">J20*(1-K20)</f>
        <v>8755</v>
      </c>
      <c r="M20" s="6"/>
      <c r="N20" s="6" t="n">
        <f aca="false">L20+IF(ISBLANK(M20),0,M20)</f>
        <v>8755</v>
      </c>
      <c r="O20" s="6" t="n">
        <v>9000</v>
      </c>
      <c r="P20" s="7" t="n">
        <v>0.1</v>
      </c>
      <c r="Q20" s="6" t="n">
        <f aca="false">L20*P20</f>
        <v>875.5</v>
      </c>
      <c r="R20" s="5"/>
    </row>
    <row r="21" customFormat="false" ht="15" hidden="false" customHeight="false" outlineLevel="0" collapsed="false">
      <c r="A21" s="4" t="n">
        <v>17</v>
      </c>
      <c r="B21" s="5" t="s">
        <v>69</v>
      </c>
      <c r="C21" s="5" t="s">
        <v>63</v>
      </c>
      <c r="D21" s="4" t="n">
        <v>2021</v>
      </c>
      <c r="E21" s="5" t="s">
        <v>22</v>
      </c>
      <c r="F21" s="5" t="s">
        <v>23</v>
      </c>
      <c r="G21" s="5" t="s">
        <v>32</v>
      </c>
      <c r="H21" s="5" t="s">
        <v>25</v>
      </c>
      <c r="I21" s="5" t="s">
        <v>64</v>
      </c>
      <c r="J21" s="6" t="n">
        <v>8800</v>
      </c>
      <c r="K21" s="7" t="n">
        <v>0</v>
      </c>
      <c r="L21" s="6" t="n">
        <f aca="false">J21*(1-K21)</f>
        <v>8800</v>
      </c>
      <c r="M21" s="6" t="n">
        <v>220</v>
      </c>
      <c r="N21" s="6" t="n">
        <f aca="false">L21+IF(ISBLANK(M21),0,M21)</f>
        <v>9020</v>
      </c>
      <c r="O21" s="6" t="n">
        <v>8000</v>
      </c>
      <c r="P21" s="7" t="n">
        <v>0.2</v>
      </c>
      <c r="Q21" s="6" t="n">
        <f aca="false">L21*P21</f>
        <v>1760</v>
      </c>
      <c r="R21" s="5"/>
    </row>
    <row r="22" customFormat="false" ht="15" hidden="false" customHeight="false" outlineLevel="0" collapsed="false">
      <c r="A22" s="4" t="n">
        <v>18</v>
      </c>
      <c r="B22" s="5" t="s">
        <v>70</v>
      </c>
      <c r="C22" s="5" t="s">
        <v>71</v>
      </c>
      <c r="D22" s="4" t="n">
        <v>2027</v>
      </c>
      <c r="E22" s="5" t="s">
        <v>22</v>
      </c>
      <c r="F22" s="5" t="s">
        <v>23</v>
      </c>
      <c r="G22" s="5" t="s">
        <v>32</v>
      </c>
      <c r="H22" s="5" t="s">
        <v>25</v>
      </c>
      <c r="I22" s="5" t="s">
        <v>72</v>
      </c>
      <c r="J22" s="6" t="n">
        <v>9500</v>
      </c>
      <c r="K22" s="7" t="n">
        <v>0.05</v>
      </c>
      <c r="L22" s="6" t="n">
        <f aca="false">J22*(1-K22)</f>
        <v>9025</v>
      </c>
      <c r="M22" s="6"/>
      <c r="N22" s="6" t="n">
        <f aca="false">L22+IF(ISBLANK(M22),0,M22)</f>
        <v>9025</v>
      </c>
      <c r="O22" s="6" t="n">
        <v>3000</v>
      </c>
      <c r="P22" s="7" t="n">
        <v>0.2</v>
      </c>
      <c r="Q22" s="6" t="n">
        <f aca="false">L22*P22</f>
        <v>1805</v>
      </c>
      <c r="R22" s="5" t="s">
        <v>73</v>
      </c>
    </row>
    <row r="23" customFormat="false" ht="15" hidden="false" customHeight="false" outlineLevel="0" collapsed="false">
      <c r="A23" s="4" t="n">
        <v>19</v>
      </c>
      <c r="B23" s="5" t="s">
        <v>74</v>
      </c>
      <c r="C23" s="5" t="s">
        <v>75</v>
      </c>
      <c r="D23" s="4" t="n">
        <v>2023</v>
      </c>
      <c r="E23" s="5" t="s">
        <v>46</v>
      </c>
      <c r="F23" s="5" t="s">
        <v>47</v>
      </c>
      <c r="G23" s="5" t="s">
        <v>32</v>
      </c>
      <c r="H23" s="5" t="s">
        <v>25</v>
      </c>
      <c r="I23" s="5" t="s">
        <v>33</v>
      </c>
      <c r="J23" s="6" t="n">
        <v>9800</v>
      </c>
      <c r="K23" s="7" t="n">
        <v>0</v>
      </c>
      <c r="L23" s="6" t="n">
        <f aca="false">J23*(1-K23)</f>
        <v>9800</v>
      </c>
      <c r="M23" s="6"/>
      <c r="N23" s="6" t="n">
        <f aca="false">L23+IF(ISBLANK(M23),0,M23)</f>
        <v>9800</v>
      </c>
      <c r="O23" s="6" t="n">
        <v>8000</v>
      </c>
      <c r="P23" s="7" t="n">
        <v>0.15</v>
      </c>
      <c r="Q23" s="6" t="n">
        <f aca="false">L23*P23</f>
        <v>1470</v>
      </c>
      <c r="R23" s="5"/>
    </row>
    <row r="24" customFormat="false" ht="15" hidden="false" customHeight="false" outlineLevel="0" collapsed="false">
      <c r="A24" s="4" t="n">
        <v>20</v>
      </c>
      <c r="B24" s="5" t="s">
        <v>76</v>
      </c>
      <c r="C24" s="5" t="s">
        <v>51</v>
      </c>
      <c r="D24" s="4" t="n">
        <v>2024</v>
      </c>
      <c r="E24" s="5" t="s">
        <v>22</v>
      </c>
      <c r="F24" s="5" t="s">
        <v>77</v>
      </c>
      <c r="G24" s="5" t="s">
        <v>32</v>
      </c>
      <c r="H24" s="5" t="s">
        <v>58</v>
      </c>
      <c r="I24" s="5" t="s">
        <v>37</v>
      </c>
      <c r="J24" s="6" t="n">
        <v>9980</v>
      </c>
      <c r="K24" s="7" t="n">
        <v>0</v>
      </c>
      <c r="L24" s="6" t="n">
        <f aca="false">J24*(1-K24)</f>
        <v>9980</v>
      </c>
      <c r="M24" s="6" t="n">
        <v>1763.8</v>
      </c>
      <c r="N24" s="6" t="n">
        <f aca="false">L24+IF(ISBLANK(M24),0,M24)</f>
        <v>11743.8</v>
      </c>
      <c r="O24" s="6" t="n">
        <v>3000</v>
      </c>
      <c r="P24" s="7" t="n">
        <v>0.15</v>
      </c>
      <c r="Q24" s="6" t="n">
        <f aca="false">L24*P24</f>
        <v>1497</v>
      </c>
      <c r="R24" s="5"/>
    </row>
    <row r="25" customFormat="false" ht="15" hidden="false" customHeight="false" outlineLevel="0" collapsed="false">
      <c r="A25" s="4" t="n">
        <v>21</v>
      </c>
      <c r="B25" s="5" t="s">
        <v>78</v>
      </c>
      <c r="C25" s="5" t="s">
        <v>79</v>
      </c>
      <c r="D25" s="4" t="n">
        <v>2019</v>
      </c>
      <c r="E25" s="5" t="s">
        <v>80</v>
      </c>
      <c r="F25" s="5" t="s">
        <v>81</v>
      </c>
      <c r="G25" s="5" t="s">
        <v>42</v>
      </c>
      <c r="H25" s="5" t="s">
        <v>58</v>
      </c>
      <c r="I25" s="5"/>
      <c r="J25" s="6" t="n">
        <v>12500</v>
      </c>
      <c r="K25" s="7" t="n">
        <v>0.07</v>
      </c>
      <c r="L25" s="6" t="n">
        <f aca="false">J25*(1-K25)</f>
        <v>11625</v>
      </c>
      <c r="M25" s="6" t="n">
        <v>682</v>
      </c>
      <c r="N25" s="6" t="n">
        <f aca="false">L25+IF(ISBLANK(M25),0,M25)</f>
        <v>12307</v>
      </c>
      <c r="O25" s="6" t="n">
        <v>1000</v>
      </c>
      <c r="P25" s="7" t="n">
        <v>0.15</v>
      </c>
      <c r="Q25" s="6" t="n">
        <f aca="false">L25*P25</f>
        <v>1743.75</v>
      </c>
      <c r="R25" s="5" t="s">
        <v>39</v>
      </c>
    </row>
    <row r="26" customFormat="false" ht="15" hidden="false" customHeight="false" outlineLevel="0" collapsed="false">
      <c r="A26" s="4" t="n">
        <v>22</v>
      </c>
      <c r="B26" s="5" t="s">
        <v>82</v>
      </c>
      <c r="C26" s="5" t="s">
        <v>83</v>
      </c>
      <c r="D26" s="4" t="n">
        <v>2021</v>
      </c>
      <c r="E26" s="5" t="s">
        <v>84</v>
      </c>
      <c r="F26" s="5" t="s">
        <v>85</v>
      </c>
      <c r="G26" s="5" t="s">
        <v>32</v>
      </c>
      <c r="H26" s="5" t="s">
        <v>86</v>
      </c>
      <c r="I26" s="5" t="s">
        <v>87</v>
      </c>
      <c r="J26" s="6" t="n">
        <v>12110</v>
      </c>
      <c r="K26" s="7" t="n">
        <v>0</v>
      </c>
      <c r="L26" s="6" t="n">
        <f aca="false">J26*(1-K26)</f>
        <v>12110</v>
      </c>
      <c r="M26" s="6"/>
      <c r="N26" s="6" t="n">
        <f aca="false">L26+IF(ISBLANK(M26),0,M26)</f>
        <v>12110</v>
      </c>
      <c r="O26" s="6" t="n">
        <v>1500</v>
      </c>
      <c r="P26" s="7" t="n">
        <v>0.15</v>
      </c>
      <c r="Q26" s="6" t="n">
        <f aca="false">L26*P26</f>
        <v>1816.5</v>
      </c>
      <c r="R26" s="5"/>
    </row>
    <row r="27" customFormat="false" ht="15" hidden="false" customHeight="false" outlineLevel="0" collapsed="false">
      <c r="A27" s="4" t="n">
        <v>23</v>
      </c>
      <c r="B27" s="5" t="s">
        <v>88</v>
      </c>
      <c r="C27" s="5" t="s">
        <v>89</v>
      </c>
      <c r="D27" s="4" t="n">
        <v>2025</v>
      </c>
      <c r="E27" s="5" t="s">
        <v>90</v>
      </c>
      <c r="F27" s="5" t="s">
        <v>91</v>
      </c>
      <c r="G27" s="5" t="s">
        <v>42</v>
      </c>
      <c r="H27" s="5" t="s">
        <v>25</v>
      </c>
      <c r="I27" s="5"/>
      <c r="J27" s="6" t="n">
        <v>14000</v>
      </c>
      <c r="K27" s="7" t="n">
        <v>0</v>
      </c>
      <c r="L27" s="6" t="n">
        <f aca="false">J27*(1-K27)</f>
        <v>14000</v>
      </c>
      <c r="M27" s="6" t="n">
        <v>1908</v>
      </c>
      <c r="N27" s="6" t="n">
        <f aca="false">L27+IF(ISBLANK(M27),0,M27)</f>
        <v>15908</v>
      </c>
      <c r="O27" s="6" t="n">
        <v>1000</v>
      </c>
      <c r="P27" s="7" t="n">
        <v>0.15</v>
      </c>
      <c r="Q27" s="6" t="n">
        <f aca="false">L27*P27</f>
        <v>2100</v>
      </c>
      <c r="R27" s="5" t="s">
        <v>39</v>
      </c>
    </row>
    <row r="28" customFormat="false" ht="15" hidden="false" customHeight="false" outlineLevel="0" collapsed="false">
      <c r="A28" s="4" t="n">
        <v>24</v>
      </c>
      <c r="B28" s="5" t="s">
        <v>92</v>
      </c>
      <c r="C28" s="5" t="s">
        <v>93</v>
      </c>
      <c r="D28" s="4" t="n">
        <v>2020</v>
      </c>
      <c r="E28" s="5" t="s">
        <v>94</v>
      </c>
      <c r="F28" s="5" t="s">
        <v>95</v>
      </c>
      <c r="G28" s="5" t="s">
        <v>42</v>
      </c>
      <c r="H28" s="5" t="s">
        <v>86</v>
      </c>
      <c r="I28" s="5"/>
      <c r="J28" s="6" t="n">
        <v>15400</v>
      </c>
      <c r="K28" s="7" t="n">
        <v>0</v>
      </c>
      <c r="L28" s="6" t="n">
        <f aca="false">J28*(1-K28)</f>
        <v>15400</v>
      </c>
      <c r="M28" s="6" t="n">
        <v>4487</v>
      </c>
      <c r="N28" s="6" t="n">
        <f aca="false">L28+IF(ISBLANK(M28),0,M28)</f>
        <v>19887</v>
      </c>
      <c r="O28" s="6"/>
      <c r="P28" s="7" t="n">
        <v>0.15</v>
      </c>
      <c r="Q28" s="6" t="n">
        <f aca="false">L28*P28</f>
        <v>2310</v>
      </c>
      <c r="R28" s="5" t="s">
        <v>96</v>
      </c>
    </row>
    <row r="29" customFormat="false" ht="15" hidden="false" customHeight="false" outlineLevel="0" collapsed="false">
      <c r="A29" s="4" t="n">
        <v>25</v>
      </c>
      <c r="B29" s="5" t="s">
        <v>97</v>
      </c>
      <c r="C29" s="5" t="s">
        <v>98</v>
      </c>
      <c r="D29" s="4" t="n">
        <v>2024</v>
      </c>
      <c r="E29" s="5" t="s">
        <v>85</v>
      </c>
      <c r="F29" s="5" t="s">
        <v>99</v>
      </c>
      <c r="G29" s="5" t="s">
        <v>32</v>
      </c>
      <c r="H29" s="5" t="s">
        <v>25</v>
      </c>
      <c r="I29" s="5" t="s">
        <v>64</v>
      </c>
      <c r="J29" s="6" t="n">
        <v>16500</v>
      </c>
      <c r="K29" s="7" t="n">
        <v>0</v>
      </c>
      <c r="L29" s="6" t="n">
        <f aca="false">J29*(1-K29)</f>
        <v>16500</v>
      </c>
      <c r="M29" s="6"/>
      <c r="N29" s="6" t="n">
        <f aca="false">L29+IF(ISBLANK(M29),0,M29)</f>
        <v>16500</v>
      </c>
      <c r="O29" s="6" t="n">
        <v>10000</v>
      </c>
      <c r="P29" s="7" t="n">
        <v>0.2</v>
      </c>
      <c r="Q29" s="6" t="n">
        <f aca="false">L29*P29</f>
        <v>3300</v>
      </c>
      <c r="R29" s="5"/>
    </row>
    <row r="30" customFormat="false" ht="15" hidden="false" customHeight="false" outlineLevel="0" collapsed="false">
      <c r="A30" s="4" t="n">
        <v>26</v>
      </c>
      <c r="B30" s="5" t="s">
        <v>100</v>
      </c>
      <c r="C30" s="5" t="s">
        <v>101</v>
      </c>
      <c r="D30" s="4" t="n">
        <v>2025</v>
      </c>
      <c r="E30" s="5" t="s">
        <v>85</v>
      </c>
      <c r="F30" s="5" t="s">
        <v>102</v>
      </c>
      <c r="G30" s="5" t="s">
        <v>42</v>
      </c>
      <c r="H30" s="5" t="s">
        <v>86</v>
      </c>
      <c r="I30" s="5"/>
      <c r="J30" s="6" t="n">
        <v>20560</v>
      </c>
      <c r="K30" s="7" t="n">
        <v>0</v>
      </c>
      <c r="L30" s="6" t="n">
        <f aca="false">J30*(1-K30)</f>
        <v>20560</v>
      </c>
      <c r="M30" s="6" t="n">
        <v>5343.8</v>
      </c>
      <c r="N30" s="6" t="n">
        <f aca="false">L30+IF(ISBLANK(M30),0,M30)</f>
        <v>25903.8</v>
      </c>
      <c r="O30" s="6" t="n">
        <v>2500</v>
      </c>
      <c r="P30" s="7" t="n">
        <v>0.15</v>
      </c>
      <c r="Q30" s="6" t="n">
        <f aca="false">L30*P30</f>
        <v>3084</v>
      </c>
      <c r="R30" s="5" t="s">
        <v>39</v>
      </c>
    </row>
    <row r="31" customFormat="false" ht="15" hidden="false" customHeight="false" outlineLevel="0" collapsed="false">
      <c r="A31" s="4" t="n">
        <v>27</v>
      </c>
      <c r="B31" s="5" t="s">
        <v>103</v>
      </c>
      <c r="C31" s="5" t="s">
        <v>101</v>
      </c>
      <c r="D31" s="4" t="n">
        <v>2026</v>
      </c>
      <c r="E31" s="5" t="s">
        <v>85</v>
      </c>
      <c r="F31" s="5" t="s">
        <v>102</v>
      </c>
      <c r="G31" s="5" t="s">
        <v>42</v>
      </c>
      <c r="H31" s="5" t="s">
        <v>86</v>
      </c>
      <c r="I31" s="5"/>
      <c r="J31" s="6" t="n">
        <v>22560</v>
      </c>
      <c r="K31" s="7" t="n">
        <v>0</v>
      </c>
      <c r="L31" s="6" t="n">
        <f aca="false">J31*(1-K31)</f>
        <v>22560</v>
      </c>
      <c r="M31" s="6" t="n">
        <v>5343.8</v>
      </c>
      <c r="N31" s="6" t="n">
        <f aca="false">L31+IF(ISBLANK(M31),0,M31)</f>
        <v>27903.8</v>
      </c>
      <c r="O31" s="6" t="n">
        <v>2500</v>
      </c>
      <c r="P31" s="7" t="n">
        <v>0.15</v>
      </c>
      <c r="Q31" s="6" t="n">
        <f aca="false">L31*P31</f>
        <v>3384</v>
      </c>
      <c r="R31" s="5" t="s">
        <v>39</v>
      </c>
    </row>
    <row r="32" customFormat="false" ht="15" hidden="false" customHeight="false" outlineLevel="0" collapsed="false">
      <c r="A32" s="4" t="n">
        <v>28</v>
      </c>
      <c r="B32" s="5" t="s">
        <v>92</v>
      </c>
      <c r="C32" s="5" t="s">
        <v>104</v>
      </c>
      <c r="D32" s="4" t="n">
        <v>2016</v>
      </c>
      <c r="E32" s="5" t="s">
        <v>30</v>
      </c>
      <c r="F32" s="5" t="s">
        <v>31</v>
      </c>
      <c r="G32" s="5" t="s">
        <v>42</v>
      </c>
      <c r="H32" s="5" t="s">
        <v>86</v>
      </c>
      <c r="I32" s="5"/>
      <c r="J32" s="6" t="n">
        <v>25900</v>
      </c>
      <c r="K32" s="7" t="n">
        <v>0</v>
      </c>
      <c r="L32" s="6" t="n">
        <f aca="false">J32*(1-K32)</f>
        <v>25900</v>
      </c>
      <c r="M32" s="6" t="n">
        <v>5112</v>
      </c>
      <c r="N32" s="6" t="n">
        <f aca="false">L32+IF(ISBLANK(M32),0,M32)</f>
        <v>31012</v>
      </c>
      <c r="O32" s="6"/>
      <c r="P32" s="7" t="n">
        <v>0.15</v>
      </c>
      <c r="Q32" s="6" t="n">
        <f aca="false">L32*P32</f>
        <v>3885</v>
      </c>
      <c r="R32" s="5" t="s">
        <v>96</v>
      </c>
    </row>
    <row r="34" customFormat="false" ht="15" hidden="false" customHeight="false" outlineLevel="0" collapsed="false">
      <c r="A34" s="8" t="s">
        <v>105</v>
      </c>
    </row>
    <row r="35" customFormat="false" ht="15" hidden="false" customHeight="false" outlineLevel="0" collapsed="false">
      <c r="A35" s="2" t="s">
        <v>106</v>
      </c>
    </row>
    <row r="36" customFormat="false" ht="15" hidden="false" customHeight="false" outlineLevel="0" collapsed="false">
      <c r="A36" s="2" t="s">
        <v>107</v>
      </c>
    </row>
    <row r="37" customFormat="false" ht="15" hidden="false" customHeight="false" outlineLevel="0" collapsed="false">
      <c r="A37" s="2" t="s">
        <v>108</v>
      </c>
    </row>
    <row r="38" customFormat="false" ht="15" hidden="false" customHeight="false" outlineLevel="0" collapsed="false">
      <c r="A38" s="2" t="s">
        <v>109</v>
      </c>
    </row>
  </sheetData>
  <autoFilter ref="A4:R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2026-09-01T20:58:45Z</dcterms:created>
  <dc:creator>openpyxl</dc:creator>
  <dc:description/>
  <dc:language>en-US</dc:language>
  <cp:lastModifiedBy/>
  <dcterms:modified xsi:type="dcterms:W3CDTF">2026-09-01T20:58:45Z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